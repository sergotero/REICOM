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os\09. BBDD\BBDD_Comedor_Reibon\src\tests\"/>
    </mc:Choice>
  </mc:AlternateContent>
  <xr:revisionPtr revIDLastSave="0" documentId="13_ncr:1_{30FBC92E-F463-4561-A19C-3BB283510F7C}" xr6:coauthVersionLast="47" xr6:coauthVersionMax="47" xr10:uidLastSave="{00000000-0000-0000-0000-000000000000}"/>
  <bookViews>
    <workbookView xWindow="-120" yWindow="-120" windowWidth="29040" windowHeight="15840" xr2:uid="{BD3FB9D7-CF60-4834-8FF0-B8B3C92AF15C}"/>
  </bookViews>
  <sheets>
    <sheet name="plantilla_alumnos" sheetId="2" r:id="rId1"/>
    <sheet name="diccionarios" sheetId="1" r:id="rId2"/>
  </sheets>
  <definedNames>
    <definedName name="DatosExternos_1" localSheetId="0" hidden="1">plantilla_alumnos!$A$1:$H$2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9" i="1" l="1"/>
  <c r="A26" i="1" s="1" a="1"/>
  <c r="A26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630A13-C3EE-47AD-9C09-8A39D7928B67}" keepAlive="1" name="Consulta - plantilla_alumnos" description="Conexión a la consulta 'plantilla_alumnos' en el libro." type="5" refreshedVersion="8" background="1" saveData="1">
    <dbPr connection="Provider=Microsoft.Mashup.OleDb.1;Data Source=$Workbook$;Location=plantilla_alumnos;Extended Properties=&quot;&quot;" command="SELECT * FROM [plantilla_alumno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<sst xmlns="http://schemas.openxmlformats.org/spreadsheetml/2006/main" count="27" uniqueCount="27">
  <si>
    <t>Nombre</t>
  </si>
  <si>
    <t>Apellido1</t>
  </si>
  <si>
    <t>Apellido2</t>
  </si>
  <si>
    <t>Curso</t>
  </si>
  <si>
    <t>Grupo</t>
  </si>
  <si>
    <t>F_Nacimiento</t>
  </si>
  <si>
    <t>Alergias</t>
  </si>
  <si>
    <t>5º Pri.</t>
  </si>
  <si>
    <t>C</t>
  </si>
  <si>
    <t>1º Pri.</t>
  </si>
  <si>
    <t>B</t>
  </si>
  <si>
    <t>4º Inf.</t>
  </si>
  <si>
    <t>5º Inf.</t>
  </si>
  <si>
    <t>6º Inf.</t>
  </si>
  <si>
    <t>2º Pri.</t>
  </si>
  <si>
    <t>3º Pri.</t>
  </si>
  <si>
    <t>4º Pri.</t>
  </si>
  <si>
    <t>A</t>
  </si>
  <si>
    <t>D</t>
  </si>
  <si>
    <t>E</t>
  </si>
  <si>
    <t>Cursos</t>
  </si>
  <si>
    <t>6º Pri.</t>
  </si>
  <si>
    <t>Grupos</t>
  </si>
  <si>
    <t>Tarifa</t>
  </si>
  <si>
    <t>Fecha minima</t>
  </si>
  <si>
    <t>Fecha maxima</t>
  </si>
  <si>
    <t>tarifa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</si>
</sst>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4">
    <dxf>
      <numFmt numFmtId="164" formatCode="yyyy\-mm\-dd;@"/>
    </dxf>
    <dxf>
      <numFmt numFmtId="164" formatCode="yyyy\-mm\-dd;@"/>
    </dxf>
    <dxf>
      <numFmt numFmtId="164" formatCode="yyyy\-mm\-dd;@"/>
    </dxf>
    <dxf>
      <numFmt numFmtId="164" formatCode="yyyy\-mm\-dd;@"/>
    </dxf>
    <dxf>
      <numFmt numFmtId="164" formatCode="yyyy\-mm\-dd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3F723C6-0F21-4BF9-B118-DAC05CF20C0D}" autoFormatId="16" applyNumberFormats="0" applyBorderFormats="0" applyFontFormats="0" applyPatternFormats="0" applyAlignmentFormats="0" applyWidthHeightFormats="0">
  <queryTableRefresh nextId="9">
    <queryTableFields count="8">
      <queryTableField id="1" name="Nombre" tableColumnId="1"/>
      <queryTableField id="2" name="Apellido1" tableColumnId="2"/>
      <queryTableField id="3" name="Apellido2" tableColumnId="3"/>
      <queryTableField id="4" name="Curso" tableColumnId="4"/>
      <queryTableField id="5" name="Grupo" tableColumnId="5"/>
      <queryTableField id="6" name="F_Nacimiento" tableColumnId="6"/>
      <queryTableField id="7" name="Alergias" tableColumnId="7"/>
      <queryTableField id="8" name="Id_tarifa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DE3243-E6FF-435E-879A-95B8CCF8AB91}" name="plantilla_alumnos" displayName="plantilla_alumnos" ref="A1:H2" tableType="queryTable" totalsRowShown="0">
  <autoFilter ref="A1:H2" xr:uid="{E9DE3243-E6FF-435E-879A-95B8CCF8AB91}"/>
  <tableColumns count="8">
    <tableColumn id="1" xr3:uid="{B298A75E-1DD8-4FD2-B3AC-742E136195D0}" uniqueName="1" name="Nombre" queryTableFieldId="1" dataDxfId="13"/>
    <tableColumn id="2" xr3:uid="{1C74E2DE-4E09-442E-9B60-8ACC98F38953}" uniqueName="2" name="Apellido1" queryTableFieldId="2" dataDxfId="12"/>
    <tableColumn id="3" xr3:uid="{D5CA50F8-6FD1-4742-8952-D264A33644C3}" uniqueName="3" name="Apellido2" queryTableFieldId="3" dataDxfId="11"/>
    <tableColumn id="4" xr3:uid="{EEA78B6E-AB95-4FAE-94E2-B8C0A10EAE13}" uniqueName="4" name="Curso" queryTableFieldId="4" dataDxfId="10"/>
    <tableColumn id="5" xr3:uid="{9B815970-89E2-4BC6-A433-A5F3554F16B2}" uniqueName="5" name="Grupo" queryTableFieldId="5" dataDxfId="6"/>
    <tableColumn id="6" xr3:uid="{B12F3D43-2864-43AB-9C26-CD0D2D83A86A}" uniqueName="6" name="F_Nacimiento" queryTableFieldId="6" dataDxfId="0"/>
    <tableColumn id="7" xr3:uid="{C2B61781-41C6-4A29-9E2C-7069B735125E}" uniqueName="7" name="Alergias" queryTableFieldId="7" dataDxfId="5"/>
    <tableColumn id="8" xr3:uid="{A7DDF3BA-4206-4318-9DBD-F93ACC555323}" uniqueName="8" name="tarifa" queryTableFieldId="8" dataDxf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3C0363-816A-4787-B84E-13BC442622AF}" name="Tabla2" displayName="Tabla2" ref="A1:A10" totalsRowShown="0">
  <autoFilter ref="A1:A10" xr:uid="{DE3C0363-816A-4787-B84E-13BC442622AF}"/>
  <tableColumns count="1">
    <tableColumn id="1" xr3:uid="{09355499-3DF4-46C2-BED9-FFDA9CA3A433}" name="Curso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06A324A-76B3-45D8-81EC-0B57487568A6}" name="Tabla3" displayName="Tabla3" ref="A12:A17" totalsRowShown="0">
  <autoFilter ref="A12:A17" xr:uid="{D06A324A-76B3-45D8-81EC-0B57487568A6}"/>
  <tableColumns count="1">
    <tableColumn id="1" xr3:uid="{F596AEFC-2AD8-45FC-9153-9B0BBEA3E23C}" name="Grupo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06F2D1A-7422-48DA-BD2C-D2FFA9ACDE46}" name="Tabla4" displayName="Tabla4" ref="A19:A23" totalsRowShown="0" dataDxfId="8">
  <autoFilter ref="A19:A23" xr:uid="{306F2D1A-7422-48DA-BD2C-D2FFA9ACDE46}"/>
  <tableColumns count="1">
    <tableColumn id="1" xr3:uid="{6C7C3CAC-38A4-46AC-8B64-4F838A9ABCFD}" name="Tarifa" dataDxfId="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28073E1-2AA2-4127-9143-EFC5561F0899}" name="Tabla5" displayName="Tabla5" ref="A25:A26" totalsRowShown="0" dataDxfId="3">
  <autoFilter ref="A25:A26" xr:uid="{528073E1-2AA2-4127-9143-EFC5561F0899}"/>
  <tableColumns count="1">
    <tableColumn id="1" xr3:uid="{382B09BD-3683-432F-8774-F5AEA087F065}" name="Fecha minima" dataDxfId="4">
      <calculatedColumnFormula array="1">DATE(YEAR(Tabla6[Fecha maxima])-15, MONTH(Tabla6[Fecha maxima]), DAY(Tabla6[Fecha maxima]))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F27F158-6267-4BFE-B8D4-7B01FE1B7B9E}" name="Tabla6" displayName="Tabla6" ref="A28:A29" totalsRowShown="0" dataDxfId="1">
  <autoFilter ref="A28:A29" xr:uid="{6F27F158-6267-4BFE-B8D4-7B01FE1B7B9E}"/>
  <tableColumns count="1">
    <tableColumn id="1" xr3:uid="{1F09D7B7-79DB-4C6A-8CF9-6043610EEC32}" name="Fecha maxima" dataDxfId="2">
      <calculatedColumnFormula>TODAY()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8CA55-C73D-471C-9F28-77606884D5FF}">
  <dimension ref="A1:J3"/>
  <sheetViews>
    <sheetView tabSelected="1" workbookViewId="0">
      <selection activeCell="F2" sqref="F2"/>
    </sheetView>
  </sheetViews>
  <sheetFormatPr baseColWidth="10" defaultRowHeight="15" x14ac:dyDescent="0.25"/>
  <cols>
    <col min="1" max="1" width="10.5703125" bestFit="1" customWidth="1"/>
    <col min="2" max="3" width="11.85546875" bestFit="1" customWidth="1"/>
    <col min="4" max="4" width="8.28515625" bestFit="1" customWidth="1"/>
    <col min="5" max="5" width="8.85546875" bestFit="1" customWidth="1"/>
    <col min="6" max="6" width="15.5703125" style="1" bestFit="1" customWidth="1"/>
    <col min="7" max="7" width="20.85546875" bestFit="1" customWidth="1"/>
    <col min="8" max="8" width="10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26</v>
      </c>
    </row>
    <row r="2" spans="1:10" x14ac:dyDescent="0.25">
      <c r="J2" s="2"/>
    </row>
    <row r="3" spans="1:10" x14ac:dyDescent="0.25">
      <c r="J3" s="2"/>
    </row>
  </sheetData>
  <phoneticPr fontId="1" type="noConversion"/>
  <pageMargins left="0.7" right="0.7" top="0.75" bottom="0.75" header="0.3" footer="0.3"/>
  <pageSetup paperSize="9" orientation="portrait" horizontalDpi="1200" verticalDpi="12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290F770-E815-439E-9FD3-9228B255463A}">
          <x14:formula1>
            <xm:f>diccionarios!$A$2:$A$10</xm:f>
          </x14:formula1>
          <xm:sqref>D1:D1048576</xm:sqref>
        </x14:dataValidation>
        <x14:dataValidation type="list" allowBlank="1" showInputMessage="1" showErrorMessage="1" xr:uid="{BD3CBB2D-C97D-49E5-8691-06CA77380BA0}">
          <x14:formula1>
            <xm:f>diccionarios!$A$13:$A$17</xm:f>
          </x14:formula1>
          <xm:sqref>E1:E1048576</xm:sqref>
        </x14:dataValidation>
        <x14:dataValidation type="list" allowBlank="1" showInputMessage="1" showErrorMessage="1" xr:uid="{2AB96B2E-570C-46DB-B930-8C36C0EEA045}">
          <x14:formula1>
            <xm:f>diccionarios!$A$20:$A$23</xm:f>
          </x14:formula1>
          <xm:sqref>H1:H1048576</xm:sqref>
        </x14:dataValidation>
        <x14:dataValidation type="date" allowBlank="1" showInputMessage="1" showErrorMessage="1" xr:uid="{7198F5D0-20E6-4B85-AF9F-0BE73B69C72E}">
          <x14:formula1>
            <xm:f>diccionarios!A26</xm:f>
          </x14:formula1>
          <x14:formula2>
            <xm:f>diccionarios!A29</xm:f>
          </x14:formula2>
          <xm:sqref>F1:F1048576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43A60-A2BF-4EDB-A565-657CC14DE71D}">
  <dimension ref="A1:A29"/>
  <sheetViews>
    <sheetView workbookViewId="0">
      <selection activeCell="A29" sqref="A29"/>
    </sheetView>
  </sheetViews>
  <sheetFormatPr baseColWidth="10" defaultRowHeight="15" x14ac:dyDescent="0.25"/>
  <cols>
    <col min="1" max="1" width="15.7109375" customWidth="1"/>
    <col min="2" max="2" width="15.42578125" bestFit="1" customWidth="1"/>
  </cols>
  <sheetData>
    <row r="1" spans="1:1" x14ac:dyDescent="0.25">
      <c r="A1" t="s">
        <v>20</v>
      </c>
    </row>
    <row r="2" spans="1:1" x14ac:dyDescent="0.25">
      <c r="A2" t="s">
        <v>11</v>
      </c>
    </row>
    <row r="3" spans="1:1" x14ac:dyDescent="0.25">
      <c r="A3" t="s">
        <v>12</v>
      </c>
    </row>
    <row r="4" spans="1:1" x14ac:dyDescent="0.25">
      <c r="A4" t="s">
        <v>13</v>
      </c>
    </row>
    <row r="5" spans="1:1" x14ac:dyDescent="0.25">
      <c r="A5" t="s">
        <v>9</v>
      </c>
    </row>
    <row r="6" spans="1:1" x14ac:dyDescent="0.25">
      <c r="A6" t="s">
        <v>14</v>
      </c>
    </row>
    <row r="7" spans="1:1" x14ac:dyDescent="0.25">
      <c r="A7" t="s">
        <v>15</v>
      </c>
    </row>
    <row r="8" spans="1:1" x14ac:dyDescent="0.25">
      <c r="A8" t="s">
        <v>16</v>
      </c>
    </row>
    <row r="9" spans="1:1" x14ac:dyDescent="0.25">
      <c r="A9" t="s">
        <v>7</v>
      </c>
    </row>
    <row r="10" spans="1:1" x14ac:dyDescent="0.25">
      <c r="A10" t="s">
        <v>21</v>
      </c>
    </row>
    <row r="12" spans="1:1" x14ac:dyDescent="0.25">
      <c r="A12" t="s">
        <v>22</v>
      </c>
    </row>
    <row r="13" spans="1:1" x14ac:dyDescent="0.25">
      <c r="A13" t="s">
        <v>17</v>
      </c>
    </row>
    <row r="14" spans="1:1" x14ac:dyDescent="0.25">
      <c r="A14" t="s">
        <v>10</v>
      </c>
    </row>
    <row r="15" spans="1:1" x14ac:dyDescent="0.25">
      <c r="A15" t="s">
        <v>8</v>
      </c>
    </row>
    <row r="16" spans="1:1" x14ac:dyDescent="0.25">
      <c r="A16" t="s">
        <v>18</v>
      </c>
    </row>
    <row r="17" spans="1:1" x14ac:dyDescent="0.25">
      <c r="A17" t="s">
        <v>19</v>
      </c>
    </row>
    <row r="19" spans="1:1" x14ac:dyDescent="0.25">
      <c r="A19" t="s">
        <v>23</v>
      </c>
    </row>
    <row r="20" spans="1:1" x14ac:dyDescent="0.25">
      <c r="A20">
        <v>0</v>
      </c>
    </row>
    <row r="21" spans="1:1" x14ac:dyDescent="0.25">
      <c r="A21">
        <v>1</v>
      </c>
    </row>
    <row r="22" spans="1:1" x14ac:dyDescent="0.25">
      <c r="A22">
        <v>2.5</v>
      </c>
    </row>
    <row r="23" spans="1:1" x14ac:dyDescent="0.25">
      <c r="A23">
        <v>4.5</v>
      </c>
    </row>
    <row r="25" spans="1:1" x14ac:dyDescent="0.25">
      <c r="A25" t="s">
        <v>24</v>
      </c>
    </row>
    <row r="26" spans="1:1" x14ac:dyDescent="0.25">
      <c r="A26" s="1" cm="1">
        <f t="array" aca="1" ref="A26" ca="1">DATE(YEAR(Tabla6[Fecha maxima])-15, MONTH(Tabla6[Fecha maxima]), DAY(Tabla6[Fecha maxima]))</f>
        <v>40452</v>
      </c>
    </row>
    <row r="28" spans="1:1" x14ac:dyDescent="0.25">
      <c r="A28" t="s">
        <v>25</v>
      </c>
    </row>
    <row r="29" spans="1:1" x14ac:dyDescent="0.25">
      <c r="A29" s="1">
        <f ca="1">TODAY()</f>
        <v>45931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3C73C2-E6AE-4939-AEE9-B4CB089A32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plantilla_alumnos</vt:lpstr>
      <vt:lpstr>diccionarios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Otero</dc:creator>
  <cp:lastModifiedBy>Sergio Otero</cp:lastModifiedBy>
  <dcterms:created xsi:type="dcterms:W3CDTF">2025-08-30T15:36:24Z</dcterms:created>
  <dcterms:modified xsi:type="dcterms:W3CDTF">2025-09-30T22:30:51Z</dcterms:modified>
</cp:coreProperties>
</file>